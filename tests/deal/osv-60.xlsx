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СВ 6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<sst xmlns="http://schemas.openxmlformats.org/spreadsheetml/2006/main" count="44" uniqueCount="40">
  <si>
    <t xml:space="preserve">Оборотно-сальдовая ведомость по счету 60</t>
  </si>
  <si>
    <t xml:space="preserve">ООО «Северный Ветер Строй»</t>
  </si>
  <si>
    <t xml:space="preserve">за 1 квартал 2025 г.</t>
  </si>
  <si>
    <t xml:space="preserve">Счёт 60 - Расчёты с поставщиками и подрядчиками</t>
  </si>
  <si>
    <t xml:space="preserve">Контрагент / Договор</t>
  </si>
  <si>
    <t xml:space="preserve">Сальдо на начало периода</t>
  </si>
  <si>
    <t xml:space="preserve">Обороты за период</t>
  </si>
  <si>
    <t xml:space="preserve">Сальдо на конец периода</t>
  </si>
  <si>
    <t xml:space="preserve">Дебет</t>
  </si>
  <si>
    <t xml:space="preserve">Кредит</t>
  </si>
  <si>
    <t xml:space="preserve">ООО «Каменный Мост»</t>
  </si>
  <si>
    <t xml:space="preserve">Договор № 41-КВ/2025 от 17.03.2025</t>
  </si>
  <si>
    <t xml:space="preserve">ИП Терехов А.Л.</t>
  </si>
  <si>
    <t xml:space="preserve">Договор № 12/03-П от 12.03.2025</t>
  </si>
  <si>
    <t xml:space="preserve">АО «Нева-Металл»</t>
  </si>
  <si>
    <t xml:space="preserve">Договор № ДП-0045 от 02.09.2024</t>
  </si>
  <si>
    <t xml:space="preserve">Договор № ДП-0061 от 10.02.2025</t>
  </si>
  <si>
    <t xml:space="preserve">ООО «Техснаб-Урал»</t>
  </si>
  <si>
    <t xml:space="preserve">Договор № ТУ-118/24 от 20.11.2024</t>
  </si>
  <si>
    <t xml:space="preserve">ООО «Пионер Сервис»</t>
  </si>
  <si>
    <t xml:space="preserve">Договор № ПС-07/25 от 15.01.2025</t>
  </si>
  <si>
    <t xml:space="preserve">АО «Балтийская Оптовая Компания»</t>
  </si>
  <si>
    <t xml:space="preserve">Договор № ДП-0052 от 05.12.2024</t>
  </si>
  <si>
    <t xml:space="preserve">ИП Хамидуллина Р.Ф.</t>
  </si>
  <si>
    <t xml:space="preserve">Договор № Х-03/2025 от 01.02.2025</t>
  </si>
  <si>
    <t xml:space="preserve">ООО «Лесной Двор»</t>
  </si>
  <si>
    <t xml:space="preserve">Договор № ЛД-21 от 14.10.2024</t>
  </si>
  <si>
    <t xml:space="preserve">ООО «Горизонт Монтаж»</t>
  </si>
  <si>
    <t xml:space="preserve">Договор № ГМ-0310 от 10.03.2025</t>
  </si>
  <si>
    <t xml:space="preserve">ИП Орлов Е.В.</t>
  </si>
  <si>
    <t xml:space="preserve">Договор № О/2025-8 от 01.04.2025</t>
  </si>
  <si>
    <t xml:space="preserve">АО «Вега Транс»</t>
  </si>
  <si>
    <t xml:space="preserve">Договор № ВТ-45/2025 от 20.01.2025</t>
  </si>
  <si>
    <t xml:space="preserve">ООО «Радуга Опт»</t>
  </si>
  <si>
    <t xml:space="preserve">Договор № РО-0099 от 19.08.2024</t>
  </si>
  <si>
    <t xml:space="preserve">ООО «Стальной Дом»</t>
  </si>
  <si>
    <t xml:space="preserve">Договор № СД-14/25 от 24.02.2025</t>
  </si>
  <si>
    <t xml:space="preserve">ИП Макарова Т.С.</t>
  </si>
  <si>
    <t xml:space="preserve">Договор № М-12/05 от 12.05.2025</t>
  </si>
  <si>
    <t xml:space="preserve">Итого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</si>
</sst>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6" customFormat="false" ht="12.8" hidden="false" customHeight="false" outlineLevel="0" collapsed="false">
      <c r="A6" s="1" t="s">
        <v>4</v>
      </c>
      <c r="B6" s="1" t="s">
        <v>5</v>
      </c>
      <c r="D6" s="1" t="s">
        <v>6</v>
      </c>
      <c r="F6" s="1" t="s">
        <v>7</v>
      </c>
    </row>
    <row r="7" customFormat="false" ht="12.8" hidden="false" customHeight="false" outlineLevel="0" collapsed="false">
      <c r="B7" s="1" t="s">
        <v>8</v>
      </c>
      <c r="C7" s="1" t="s">
        <v>9</v>
      </c>
      <c r="D7" s="1" t="s">
        <v>8</v>
      </c>
      <c r="E7" s="1" t="s">
        <v>9</v>
      </c>
      <c r="F7" s="1" t="s">
        <v>8</v>
      </c>
      <c r="G7" s="1" t="s">
        <v>9</v>
      </c>
    </row>
    <row r="8" customFormat="false" ht="12.8" hidden="false" customHeight="false" outlineLevel="0" collapsed="false">
      <c r="A8" s="1" t="s">
        <v>10</v>
      </c>
      <c r="B8" s="2" t="n">
        <f aca="false">SUM(B9)</f>
        <v>0</v>
      </c>
      <c r="C8" s="2" t="n">
        <f aca="false">SUM(C9)</f>
        <v>166400</v>
      </c>
      <c r="D8" s="2" t="n">
        <f aca="false">SUM(D9)</f>
        <v>2692800</v>
      </c>
      <c r="E8" s="2" t="n">
        <f aca="false">SUM(E9)</f>
        <v>1958400</v>
      </c>
      <c r="F8" s="2" t="n">
        <f aca="false">MAX(B8-C8+D8-E8,0)</f>
        <v>568000</v>
      </c>
      <c r="G8" s="2" t="n">
        <f aca="false">MAX(C8-B8+E8-D8,0)</f>
        <v>0</v>
      </c>
    </row>
    <row r="9" customFormat="false" ht="12.8" hidden="false" customHeight="false" outlineLevel="0" collapsed="false">
      <c r="A9" s="3" t="s">
        <v>11</v>
      </c>
      <c r="B9" s="4"/>
      <c r="C9" s="4" t="n">
        <v>166400</v>
      </c>
      <c r="D9" s="4" t="n">
        <v>2692800</v>
      </c>
      <c r="E9" s="4" t="n">
        <v>1958400</v>
      </c>
      <c r="F9" s="4" t="n">
        <v>568000</v>
      </c>
      <c r="G9" s="4"/>
    </row>
    <row r="10" customFormat="false" ht="12.8" hidden="false" customHeight="false" outlineLevel="0" collapsed="false">
      <c r="A10" s="1" t="s">
        <v>12</v>
      </c>
      <c r="B10" s="2" t="n">
        <f aca="false">SUM(B11)</f>
        <v>0</v>
      </c>
      <c r="C10" s="2" t="n">
        <f aca="false">SUM(C11)</f>
        <v>213200</v>
      </c>
      <c r="D10" s="2" t="n">
        <f aca="false">SUM(D11)</f>
        <v>388935.22</v>
      </c>
      <c r="E10" s="2" t="n">
        <f aca="false">SUM(E11)</f>
        <v>432150.25</v>
      </c>
      <c r="F10" s="2" t="n">
        <f aca="false">MAX(B10-C10+D10-E10,0)</f>
        <v>0</v>
      </c>
      <c r="G10" s="2" t="n">
        <f aca="false">MAX(C10-B10+E10-D10,0)</f>
        <v>256415.03</v>
      </c>
    </row>
    <row r="11" customFormat="false" ht="12.8" hidden="false" customHeight="false" outlineLevel="0" collapsed="false">
      <c r="A11" s="3" t="s">
        <v>13</v>
      </c>
      <c r="B11" s="4"/>
      <c r="C11" s="4" t="n">
        <v>213200</v>
      </c>
      <c r="D11" s="4" t="n">
        <v>388935.22</v>
      </c>
      <c r="E11" s="4" t="n">
        <v>432150.25</v>
      </c>
      <c r="F11" s="4"/>
      <c r="G11" s="4" t="n">
        <v>256415.03</v>
      </c>
    </row>
    <row r="12" customFormat="false" ht="12.8" hidden="false" customHeight="false" outlineLevel="0" collapsed="false">
      <c r="A12" s="1" t="s">
        <v>14</v>
      </c>
      <c r="B12" s="2" t="n">
        <f aca="false">SUM(B13:B14)</f>
        <v>0</v>
      </c>
      <c r="C12" s="2" t="n">
        <f aca="false">SUM(C13:C14)</f>
        <v>36400</v>
      </c>
      <c r="D12" s="2" t="n">
        <f aca="false">SUM(D13:D14)</f>
        <v>3589500</v>
      </c>
      <c r="E12" s="2" t="n">
        <f aca="false">SUM(E13:E14)</f>
        <v>4468000</v>
      </c>
      <c r="F12" s="2" t="n">
        <f aca="false">MAX(B12-C12+D12-E12,0)</f>
        <v>0</v>
      </c>
      <c r="G12" s="2" t="n">
        <f aca="false">MAX(C12-B12+E12-D12,0)</f>
        <v>914900</v>
      </c>
    </row>
    <row r="13" customFormat="false" ht="12.8" hidden="false" customHeight="false" outlineLevel="0" collapsed="false">
      <c r="A13" s="3" t="s">
        <v>15</v>
      </c>
      <c r="B13" s="4"/>
      <c r="C13" s="4" t="n">
        <v>36400</v>
      </c>
      <c r="D13" s="4" t="n">
        <v>2816000</v>
      </c>
      <c r="E13" s="4" t="n">
        <v>3584000</v>
      </c>
      <c r="F13" s="4"/>
      <c r="G13" s="4" t="n">
        <v>804400</v>
      </c>
    </row>
    <row r="14" customFormat="false" ht="12.8" hidden="false" customHeight="false" outlineLevel="0" collapsed="false">
      <c r="A14" s="3" t="s">
        <v>16</v>
      </c>
      <c r="B14" s="4"/>
      <c r="C14" s="4"/>
      <c r="D14" s="4" t="n">
        <v>773500</v>
      </c>
      <c r="E14" s="4" t="n">
        <v>884000</v>
      </c>
      <c r="F14" s="4"/>
      <c r="G14" s="4" t="n">
        <v>110500</v>
      </c>
    </row>
    <row r="15" customFormat="false" ht="12.8" hidden="false" customHeight="false" outlineLevel="0" collapsed="false">
      <c r="A15" s="1" t="s">
        <v>17</v>
      </c>
      <c r="B15" s="2" t="n">
        <f aca="false">SUM(B16)</f>
        <v>0</v>
      </c>
      <c r="C15" s="2" t="n">
        <f aca="false">SUM(C16)</f>
        <v>223600</v>
      </c>
      <c r="D15" s="2" t="n">
        <f aca="false">SUM(D16)</f>
        <v>624000</v>
      </c>
      <c r="E15" s="2" t="n">
        <f aca="false">SUM(E16)</f>
        <v>672000</v>
      </c>
      <c r="F15" s="2" t="n">
        <f aca="false">MAX(B15-C15+D15-E15,0)</f>
        <v>0</v>
      </c>
      <c r="G15" s="2" t="n">
        <f aca="false">MAX(C15-B15+E15-D15,0)</f>
        <v>271600</v>
      </c>
    </row>
    <row r="16" customFormat="false" ht="12.8" hidden="false" customHeight="false" outlineLevel="0" collapsed="false">
      <c r="A16" s="3" t="s">
        <v>18</v>
      </c>
      <c r="B16" s="4"/>
      <c r="C16" s="4" t="n">
        <v>223600</v>
      </c>
      <c r="D16" s="4" t="n">
        <v>624000</v>
      </c>
      <c r="E16" s="4" t="n">
        <v>672000</v>
      </c>
      <c r="F16" s="4"/>
      <c r="G16" s="4" t="n">
        <v>271600</v>
      </c>
    </row>
    <row r="17" customFormat="false" ht="12.8" hidden="false" customHeight="false" outlineLevel="0" collapsed="false">
      <c r="A17" s="1" t="s">
        <v>19</v>
      </c>
      <c r="B17" s="2" t="n">
        <f aca="false">SUM(B18)</f>
        <v>0</v>
      </c>
      <c r="C17" s="2" t="n">
        <f aca="false">SUM(C18)</f>
        <v>0</v>
      </c>
      <c r="D17" s="2" t="n">
        <f aca="false">SUM(D18)</f>
        <v>140400</v>
      </c>
      <c r="E17" s="2" t="n">
        <f aca="false">SUM(E18)</f>
        <v>156000</v>
      </c>
      <c r="F17" s="2" t="n">
        <f aca="false">MAX(B17-C17+D17-E17,0)</f>
        <v>0</v>
      </c>
      <c r="G17" s="2" t="n">
        <f aca="false">MAX(C17-B17+E17-D17,0)</f>
        <v>15600</v>
      </c>
    </row>
    <row r="18" customFormat="false" ht="12.8" hidden="false" customHeight="false" outlineLevel="0" collapsed="false">
      <c r="A18" s="3" t="s">
        <v>20</v>
      </c>
      <c r="B18" s="4"/>
      <c r="C18" s="4"/>
      <c r="D18" s="4" t="n">
        <v>140400</v>
      </c>
      <c r="E18" s="4" t="n">
        <v>156000</v>
      </c>
      <c r="F18" s="4"/>
      <c r="G18" s="4" t="n">
        <v>15600</v>
      </c>
    </row>
    <row r="19" customFormat="false" ht="12.8" hidden="false" customHeight="false" outlineLevel="0" collapsed="false">
      <c r="A19" s="1" t="s">
        <v>21</v>
      </c>
      <c r="B19" s="2" t="n">
        <f aca="false">SUM(B20)</f>
        <v>0</v>
      </c>
      <c r="C19" s="2" t="n">
        <f aca="false">SUM(C20)</f>
        <v>317200</v>
      </c>
      <c r="D19" s="2" t="n">
        <f aca="false">SUM(D20)</f>
        <v>1833750</v>
      </c>
      <c r="E19" s="2" t="n">
        <f aca="false">SUM(E20)</f>
        <v>2037500</v>
      </c>
      <c r="F19" s="2" t="n">
        <f aca="false">MAX(B19-C19+D19-E19,0)</f>
        <v>0</v>
      </c>
      <c r="G19" s="2" t="n">
        <f aca="false">MAX(C19-B19+E19-D19,0)</f>
        <v>520950</v>
      </c>
    </row>
    <row r="20" customFormat="false" ht="12.8" hidden="false" customHeight="false" outlineLevel="0" collapsed="false">
      <c r="A20" s="3" t="s">
        <v>22</v>
      </c>
      <c r="B20" s="4"/>
      <c r="C20" s="4" t="n">
        <v>317200</v>
      </c>
      <c r="D20" s="4" t="n">
        <v>1833750</v>
      </c>
      <c r="E20" s="4" t="n">
        <v>2037500</v>
      </c>
      <c r="F20" s="4"/>
      <c r="G20" s="4" t="n">
        <v>520950</v>
      </c>
    </row>
    <row r="21" customFormat="false" ht="12.8" hidden="false" customHeight="false" outlineLevel="0" collapsed="false">
      <c r="A21" s="1" t="s">
        <v>23</v>
      </c>
      <c r="B21" s="2" t="n">
        <f aca="false">SUM(B22)</f>
        <v>0</v>
      </c>
      <c r="C21" s="2" t="n">
        <f aca="false">SUM(C22)</f>
        <v>260000</v>
      </c>
      <c r="D21" s="2" t="n">
        <f aca="false">SUM(D22)</f>
        <v>65625</v>
      </c>
      <c r="E21" s="2" t="n">
        <f aca="false">SUM(E22)</f>
        <v>112500</v>
      </c>
      <c r="F21" s="2" t="n">
        <f aca="false">MAX(B21-C21+D21-E21,0)</f>
        <v>0</v>
      </c>
      <c r="G21" s="2" t="n">
        <f aca="false">MAX(C21-B21+E21-D21,0)</f>
        <v>306875</v>
      </c>
    </row>
    <row r="22" customFormat="false" ht="12.8" hidden="false" customHeight="false" outlineLevel="0" collapsed="false">
      <c r="A22" s="3" t="s">
        <v>24</v>
      </c>
      <c r="B22" s="4"/>
      <c r="C22" s="4" t="n">
        <v>260000</v>
      </c>
      <c r="D22" s="4" t="n">
        <v>65625</v>
      </c>
      <c r="E22" s="4" t="n">
        <v>112500</v>
      </c>
      <c r="F22" s="4"/>
      <c r="G22" s="4" t="n">
        <v>306875</v>
      </c>
    </row>
    <row r="23" customFormat="false" ht="12.8" hidden="false" customHeight="false" outlineLevel="0" collapsed="false">
      <c r="A23" s="1" t="s">
        <v>25</v>
      </c>
      <c r="B23" s="2" t="n">
        <f aca="false">SUM(B24)</f>
        <v>0</v>
      </c>
      <c r="C23" s="2" t="n">
        <f aca="false">SUM(C24)</f>
        <v>364000</v>
      </c>
      <c r="D23" s="2" t="n">
        <f aca="false">SUM(D24)</f>
        <v>244440</v>
      </c>
      <c r="E23" s="2" t="n">
        <f aca="false">SUM(E24)</f>
        <v>419040</v>
      </c>
      <c r="F23" s="2" t="n">
        <f aca="false">MAX(B23-C23+D23-E23,0)</f>
        <v>0</v>
      </c>
      <c r="G23" s="2" t="n">
        <f aca="false">MAX(C23-B23+E23-D23,0)</f>
        <v>538600</v>
      </c>
    </row>
    <row r="24" customFormat="false" ht="12.8" hidden="false" customHeight="false" outlineLevel="0" collapsed="false">
      <c r="A24" s="3" t="s">
        <v>26</v>
      </c>
      <c r="B24" s="4"/>
      <c r="C24" s="4" t="n">
        <v>364000</v>
      </c>
      <c r="D24" s="4" t="n">
        <v>244440</v>
      </c>
      <c r="E24" s="4" t="n">
        <v>419040</v>
      </c>
      <c r="F24" s="4"/>
      <c r="G24" s="4" t="n">
        <v>538600</v>
      </c>
    </row>
    <row r="25" customFormat="false" ht="12.8" hidden="false" customHeight="false" outlineLevel="0" collapsed="false">
      <c r="A25" s="1" t="s">
        <v>27</v>
      </c>
      <c r="B25" s="2" t="n">
        <f aca="false">SUM(B26)</f>
        <v>0</v>
      </c>
      <c r="C25" s="2" t="n">
        <f aca="false">SUM(C26)</f>
        <v>83200</v>
      </c>
      <c r="D25" s="2" t="n">
        <f aca="false">SUM(D26)</f>
        <v>783000</v>
      </c>
      <c r="E25" s="2" t="n">
        <f aca="false">SUM(E26)</f>
        <v>696000</v>
      </c>
      <c r="F25" s="2" t="n">
        <f aca="false">MAX(B25-C25+D25-E25,0)</f>
        <v>3800</v>
      </c>
      <c r="G25" s="2" t="n">
        <f aca="false">MAX(C25-B25+E25-D25,0)</f>
        <v>0</v>
      </c>
    </row>
    <row r="26" customFormat="false" ht="12.8" hidden="false" customHeight="false" outlineLevel="0" collapsed="false">
      <c r="A26" s="3" t="s">
        <v>28</v>
      </c>
      <c r="B26" s="4"/>
      <c r="C26" s="4" t="n">
        <v>83200</v>
      </c>
      <c r="D26" s="4" t="n">
        <v>783000</v>
      </c>
      <c r="E26" s="4" t="n">
        <v>696000</v>
      </c>
      <c r="F26" s="4" t="n">
        <v>3800</v>
      </c>
      <c r="G26" s="4"/>
    </row>
    <row r="27" customFormat="false" ht="12.8" hidden="false" customHeight="false" outlineLevel="0" collapsed="false">
      <c r="A27" s="1" t="s">
        <v>29</v>
      </c>
      <c r="B27" s="2" t="n">
        <f aca="false">SUM(B28)</f>
        <v>0</v>
      </c>
      <c r="C27" s="2" t="n">
        <f aca="false">SUM(C28)</f>
        <v>135200</v>
      </c>
      <c r="D27" s="2" t="n">
        <f aca="false">SUM(D28)</f>
        <v>58050</v>
      </c>
      <c r="E27" s="2" t="n">
        <f aca="false">SUM(E28)</f>
        <v>77400</v>
      </c>
      <c r="F27" s="2" t="n">
        <f aca="false">MAX(B27-C27+D27-E27,0)</f>
        <v>0</v>
      </c>
      <c r="G27" s="2" t="n">
        <f aca="false">MAX(C27-B27+E27-D27,0)</f>
        <v>154550</v>
      </c>
    </row>
    <row r="28" customFormat="false" ht="12.8" hidden="false" customHeight="false" outlineLevel="0" collapsed="false">
      <c r="A28" s="3" t="s">
        <v>30</v>
      </c>
      <c r="B28" s="4"/>
      <c r="C28" s="4" t="n">
        <v>135200</v>
      </c>
      <c r="D28" s="4" t="n">
        <v>58050</v>
      </c>
      <c r="E28" s="4" t="n">
        <v>77400</v>
      </c>
      <c r="F28" s="4"/>
      <c r="G28" s="4" t="n">
        <v>154550</v>
      </c>
    </row>
    <row r="29" customFormat="false" ht="12.8" hidden="false" customHeight="false" outlineLevel="0" collapsed="false">
      <c r="A29" s="1" t="s">
        <v>31</v>
      </c>
      <c r="B29" s="2" t="n">
        <f aca="false">SUM(B30)</f>
        <v>0</v>
      </c>
      <c r="C29" s="2" t="n">
        <f aca="false">SUM(C30)</f>
        <v>0</v>
      </c>
      <c r="D29" s="2" t="n">
        <f aca="false">SUM(D30)</f>
        <v>204750</v>
      </c>
      <c r="E29" s="2" t="n">
        <f aca="false">SUM(E30)</f>
        <v>182000</v>
      </c>
      <c r="F29" s="2" t="n">
        <f aca="false">MAX(B29-C29+D29-E29,0)</f>
        <v>22750</v>
      </c>
      <c r="G29" s="2" t="n">
        <f aca="false">MAX(C29-B29+E29-D29,0)</f>
        <v>0</v>
      </c>
    </row>
    <row r="30" customFormat="false" ht="12.8" hidden="false" customHeight="false" outlineLevel="0" collapsed="false">
      <c r="A30" s="3" t="s">
        <v>32</v>
      </c>
      <c r="B30" s="4"/>
      <c r="C30" s="4"/>
      <c r="D30" s="4" t="n">
        <v>204750</v>
      </c>
      <c r="E30" s="4" t="n">
        <v>182000</v>
      </c>
      <c r="F30" s="4" t="n">
        <v>22750</v>
      </c>
      <c r="G30" s="4"/>
    </row>
    <row r="31" customFormat="false" ht="12.8" hidden="false" customHeight="false" outlineLevel="0" collapsed="false">
      <c r="A31" s="1" t="s">
        <v>33</v>
      </c>
      <c r="B31" s="2" t="n">
        <f aca="false">SUM(B32)</f>
        <v>0</v>
      </c>
      <c r="C31" s="2" t="n">
        <f aca="false">SUM(C32)</f>
        <v>20800</v>
      </c>
      <c r="D31" s="2" t="n">
        <f aca="false">SUM(D32)</f>
        <v>1972500</v>
      </c>
      <c r="E31" s="2" t="n">
        <f aca="false">SUM(E32)</f>
        <v>1052000</v>
      </c>
      <c r="F31" s="2" t="n">
        <f aca="false">MAX(B31-C31+D31-E31,0)</f>
        <v>899700</v>
      </c>
      <c r="G31" s="2" t="n">
        <f aca="false">MAX(C31-B31+E31-D31,0)</f>
        <v>0</v>
      </c>
    </row>
    <row r="32" customFormat="false" ht="12.8" hidden="false" customHeight="false" outlineLevel="0" collapsed="false">
      <c r="A32" s="3" t="s">
        <v>34</v>
      </c>
      <c r="B32" s="4"/>
      <c r="C32" s="4" t="n">
        <v>20800</v>
      </c>
      <c r="D32" s="4" t="n">
        <v>1972500</v>
      </c>
      <c r="E32" s="4" t="n">
        <v>1052000</v>
      </c>
      <c r="F32" s="4" t="n">
        <v>899700</v>
      </c>
      <c r="G32" s="4"/>
    </row>
    <row r="33" customFormat="false" ht="12.8" hidden="false" customHeight="false" outlineLevel="0" collapsed="false">
      <c r="A33" s="1" t="s">
        <v>35</v>
      </c>
      <c r="B33" s="2" t="n">
        <f aca="false">SUM(B34)</f>
        <v>0</v>
      </c>
      <c r="C33" s="2" t="n">
        <f aca="false">SUM(C34)</f>
        <v>0</v>
      </c>
      <c r="D33" s="2" t="n">
        <f aca="false">SUM(D34)</f>
        <v>2542500</v>
      </c>
      <c r="E33" s="2" t="n">
        <f aca="false">SUM(E34)</f>
        <v>2373000</v>
      </c>
      <c r="F33" s="2" t="n">
        <f aca="false">MAX(B33-C33+D33-E33,0)</f>
        <v>169500</v>
      </c>
      <c r="G33" s="2" t="n">
        <f aca="false">MAX(C33-B33+E33-D33,0)</f>
        <v>0</v>
      </c>
    </row>
    <row r="34" customFormat="false" ht="12.8" hidden="false" customHeight="false" outlineLevel="0" collapsed="false">
      <c r="A34" s="3" t="s">
        <v>36</v>
      </c>
      <c r="B34" s="4"/>
      <c r="C34" s="4"/>
      <c r="D34" s="4" t="n">
        <v>2542500</v>
      </c>
      <c r="E34" s="4" t="n">
        <v>2373000</v>
      </c>
      <c r="F34" s="4" t="n">
        <v>169500</v>
      </c>
      <c r="G34" s="4"/>
    </row>
    <row r="35" customFormat="false" ht="12.8" hidden="false" customHeight="false" outlineLevel="0" collapsed="false">
      <c r="A35" s="1" t="s">
        <v>37</v>
      </c>
      <c r="B35" s="2" t="n">
        <f aca="false">SUM(B36)</f>
        <v>0</v>
      </c>
      <c r="C35" s="2" t="n">
        <f aca="false">SUM(C36)</f>
        <v>0</v>
      </c>
      <c r="D35" s="2" t="n">
        <f aca="false">SUM(D36)</f>
        <v>33600</v>
      </c>
      <c r="E35" s="2" t="n">
        <f aca="false">SUM(E36)</f>
        <v>57600</v>
      </c>
      <c r="F35" s="2" t="n">
        <f aca="false">MAX(B35-C35+D35-E35,0)</f>
        <v>0</v>
      </c>
      <c r="G35" s="2" t="n">
        <f aca="false">MAX(C35-B35+E35-D35,0)</f>
        <v>24000</v>
      </c>
    </row>
    <row r="36" customFormat="false" ht="12.8" hidden="false" customHeight="false" outlineLevel="0" collapsed="false">
      <c r="A36" s="3" t="s">
        <v>38</v>
      </c>
      <c r="B36" s="4"/>
      <c r="C36" s="4"/>
      <c r="D36" s="4" t="n">
        <v>33600</v>
      </c>
      <c r="E36" s="4" t="n">
        <v>57600</v>
      </c>
      <c r="F36" s="4"/>
      <c r="G36" s="4" t="n">
        <v>24000</v>
      </c>
    </row>
    <row r="37" customFormat="false" ht="12.8" hidden="false" customHeight="false" outlineLevel="0" collapsed="false">
      <c r="A37" s="1" t="s">
        <v>39</v>
      </c>
      <c r="B37" s="2" t="n">
        <f aca="false">B8+B10+B12+B15+B17+B19+B21+B23+B25+B27+B29+B31+B33+B35</f>
        <v>0</v>
      </c>
      <c r="C37" s="2" t="n">
        <f aca="false">C8+C10+C12+C15+C17+C19+C21+C23+C25+C27+C29+C31+C33+C35</f>
        <v>1820000</v>
      </c>
      <c r="D37" s="2" t="n">
        <f aca="false">D8+D10+D12+D15+D17+D19+D21+D23+D25+D27+D29+D31+D33+D35</f>
        <v>15173850.22</v>
      </c>
      <c r="E37" s="2" t="n">
        <f aca="false">E8+E10+E12+E15+E17+E19+E21+E23+E25+E27+E29+E31+E33+E35</f>
        <v>14693590.25</v>
      </c>
      <c r="F37" s="2" t="n">
        <f aca="false">F8+F10+F12+F15+F17+F19+F21+F23+F25+F27+F29+F31+F33+F35</f>
        <v>1663750</v>
      </c>
      <c r="G37" s="2" t="n">
        <f aca="false">G8+G10+G12+G15+G17+G19+G21+G23+G25+G27+G29+G31+G33+G35</f>
        <v>3003490.03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