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рточка 6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<sst xmlns="http://schemas.openxmlformats.org/spreadsheetml/2006/main" count="40" uniqueCount="32">
  <si>
    <t xml:space="preserve">Карточка счета 60</t>
  </si>
  <si>
    <t xml:space="preserve">ООО «Северный Ветер Строй»</t>
  </si>
  <si>
    <t xml:space="preserve">за 1 квартал 2025 г.</t>
  </si>
  <si>
    <t xml:space="preserve">Контрагент: АО «Нева-Металл», ИНН 7805123400</t>
  </si>
  <si>
    <t xml:space="preserve">Договоры: № ДП-0045, № ДП-0061</t>
  </si>
  <si>
    <t xml:space="preserve">Период</t>
  </si>
  <si>
    <t xml:space="preserve">Документ</t>
  </si>
  <si>
    <t xml:space="preserve">Аналитика Дт</t>
  </si>
  <si>
    <t xml:space="preserve">Аналитика Кт</t>
  </si>
  <si>
    <t xml:space="preserve">Дебет</t>
  </si>
  <si>
    <t xml:space="preserve">Кредит</t>
  </si>
  <si>
    <t xml:space="preserve">Текущее сальдо</t>
  </si>
  <si>
    <t xml:space="preserve">Сальдо на начало</t>
  </si>
  <si>
    <t xml:space="preserve">Кт 0,00</t>
  </si>
  <si>
    <t xml:space="preserve">Поступление (акт, накладная) 0000012 от 14.01.2025</t>
  </si>
  <si>
    <t xml:space="preserve">10.01
Арматура и прокат
Договор № ДП-0045</t>
  </si>
  <si>
    <t xml:space="preserve">60.01
АО «Нева-Металл»
Договор № ДП-0045</t>
  </si>
  <si>
    <t xml:space="preserve">Кт 1 820 000,00</t>
  </si>
  <si>
    <t xml:space="preserve">Списание с расчётного счёта 00000006 от 23.01.2025</t>
  </si>
  <si>
    <t xml:space="preserve">51
Основной расчётный счёт</t>
  </si>
  <si>
    <t xml:space="preserve">Кт 320 000,00</t>
  </si>
  <si>
    <t xml:space="preserve">Поступление (акт, накладная) 0000031 от 12.02.2025</t>
  </si>
  <si>
    <t xml:space="preserve">10.01
Арматура и прокат
Договор № ДП-0061</t>
  </si>
  <si>
    <t xml:space="preserve">60.01
АО «Нева-Металл»
Договор № ДП-0061</t>
  </si>
  <si>
    <t xml:space="preserve">Кт 1 425 000,00</t>
  </si>
  <si>
    <t xml:space="preserve">Списание с расчётного счёта 00000011 от 28.02.2025</t>
  </si>
  <si>
    <t xml:space="preserve">Кт 825 000,00</t>
  </si>
  <si>
    <t xml:space="preserve">Поступление (акт, накладная) 0000058 от 19.03.2025</t>
  </si>
  <si>
    <t xml:space="preserve">Кт 1 775 000,00</t>
  </si>
  <si>
    <t xml:space="preserve">Списание с расчётного счёта 00000019 от 27.03.2025</t>
  </si>
  <si>
    <t xml:space="preserve">Кт 575 000,00</t>
  </si>
  <si>
    <t xml:space="preserve">Обороты за период и сальдо на конец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</si>
</sst>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7" customFormat="false" ht="12.8" hidden="false" customHeight="false" outlineLevel="0" collapsed="false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</row>
    <row r="8" customFormat="false" ht="12.8" hidden="false" customHeight="false" outlineLevel="0" collapsed="false">
      <c r="B8" s="1" t="s">
        <v>12</v>
      </c>
      <c r="G8" s="0" t="s">
        <v>13</v>
      </c>
    </row>
    <row r="9" customFormat="false" ht="35.05" hidden="false" customHeight="false" outlineLevel="0" collapsed="false">
      <c r="A9" s="2" t="n">
        <v>45671</v>
      </c>
      <c r="B9" s="0" t="s">
        <v>14</v>
      </c>
      <c r="C9" s="3" t="s">
        <v>15</v>
      </c>
      <c r="D9" s="3" t="s">
        <v>16</v>
      </c>
      <c r="F9" s="4" t="n">
        <v>1820000</v>
      </c>
      <c r="G9" s="0" t="s">
        <v>17</v>
      </c>
    </row>
    <row r="10" customFormat="false" ht="35.05" hidden="false" customHeight="false" outlineLevel="0" collapsed="false">
      <c r="A10" s="2" t="n">
        <v>45680</v>
      </c>
      <c r="B10" s="0" t="s">
        <v>18</v>
      </c>
      <c r="C10" s="3" t="s">
        <v>16</v>
      </c>
      <c r="D10" s="3" t="s">
        <v>19</v>
      </c>
      <c r="E10" s="4" t="n">
        <v>1500000</v>
      </c>
      <c r="G10" s="0" t="s">
        <v>20</v>
      </c>
    </row>
    <row r="11" customFormat="false" ht="35.05" hidden="false" customHeight="false" outlineLevel="0" collapsed="false">
      <c r="A11" s="2" t="n">
        <v>45700</v>
      </c>
      <c r="B11" s="0" t="s">
        <v>21</v>
      </c>
      <c r="C11" s="3" t="s">
        <v>22</v>
      </c>
      <c r="D11" s="3" t="s">
        <v>23</v>
      </c>
      <c r="F11" s="4" t="n">
        <v>1105000</v>
      </c>
      <c r="G11" s="0" t="s">
        <v>24</v>
      </c>
    </row>
    <row r="12" customFormat="false" ht="35.05" hidden="false" customHeight="false" outlineLevel="0" collapsed="false">
      <c r="A12" s="2" t="n">
        <v>45716</v>
      </c>
      <c r="B12" s="0" t="s">
        <v>25</v>
      </c>
      <c r="C12" s="3" t="s">
        <v>23</v>
      </c>
      <c r="D12" s="3" t="s">
        <v>19</v>
      </c>
      <c r="E12" s="4" t="n">
        <v>600000</v>
      </c>
      <c r="G12" s="0" t="s">
        <v>26</v>
      </c>
    </row>
    <row r="13" customFormat="false" ht="35.05" hidden="false" customHeight="false" outlineLevel="0" collapsed="false">
      <c r="A13" s="2" t="n">
        <v>45735</v>
      </c>
      <c r="B13" s="0" t="s">
        <v>27</v>
      </c>
      <c r="C13" s="3" t="s">
        <v>15</v>
      </c>
      <c r="D13" s="3" t="s">
        <v>16</v>
      </c>
      <c r="F13" s="4" t="n">
        <v>950000</v>
      </c>
      <c r="G13" s="0" t="s">
        <v>28</v>
      </c>
    </row>
    <row r="14" customFormat="false" ht="35.05" hidden="false" customHeight="false" outlineLevel="0" collapsed="false">
      <c r="A14" s="2" t="n">
        <v>45743</v>
      </c>
      <c r="B14" s="0" t="s">
        <v>29</v>
      </c>
      <c r="C14" s="3" t="s">
        <v>16</v>
      </c>
      <c r="D14" s="3" t="s">
        <v>19</v>
      </c>
      <c r="E14" s="4" t="n">
        <v>1200000</v>
      </c>
      <c r="G14" s="0" t="s">
        <v>30</v>
      </c>
    </row>
    <row r="15" customFormat="false" ht="12.8" hidden="false" customHeight="false" outlineLevel="0" collapsed="false">
      <c r="B15" s="1" t="s">
        <v>31</v>
      </c>
      <c r="E15" s="5" t="n">
        <f aca="false">SUM(E9:E14)</f>
        <v>3300000</v>
      </c>
      <c r="F15" s="5" t="n">
        <f aca="false">SUM(F9:F14)</f>
        <v>3875000</v>
      </c>
      <c r="G15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